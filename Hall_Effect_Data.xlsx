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3785743B6AF85/문서/"/>
    </mc:Choice>
  </mc:AlternateContent>
  <xr:revisionPtr revIDLastSave="294" documentId="8_{114C055E-0996-4F31-9F32-E541A31943CA}" xr6:coauthVersionLast="47" xr6:coauthVersionMax="47" xr10:uidLastSave="{2F45B9FC-185D-4D50-B956-D7301E1155BB}"/>
  <bookViews>
    <workbookView xWindow="-110" yWindow="-110" windowWidth="19420" windowHeight="10300" xr2:uid="{3D48E35E-0465-4F6A-B9F3-9E9694E6249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5" l="1"/>
  <c r="G24" i="5"/>
  <c r="M23" i="5"/>
  <c r="G23" i="5"/>
  <c r="M22" i="5"/>
  <c r="J22" i="5"/>
  <c r="G22" i="5"/>
  <c r="D22" i="5"/>
  <c r="M21" i="5"/>
  <c r="J21" i="5"/>
  <c r="G21" i="5"/>
  <c r="D21" i="5"/>
  <c r="M20" i="5"/>
  <c r="J20" i="5"/>
  <c r="G20" i="5"/>
  <c r="D20" i="5"/>
  <c r="M19" i="5"/>
  <c r="J19" i="5"/>
  <c r="G19" i="5"/>
  <c r="D19" i="5"/>
  <c r="M18" i="5"/>
  <c r="J18" i="5"/>
  <c r="G18" i="5"/>
  <c r="D18" i="5"/>
  <c r="G15" i="5"/>
  <c r="M14" i="5"/>
  <c r="J14" i="5"/>
  <c r="G14" i="5"/>
  <c r="D14" i="5"/>
  <c r="M13" i="5"/>
  <c r="J13" i="5"/>
  <c r="G13" i="5"/>
  <c r="D13" i="5"/>
  <c r="M12" i="5"/>
  <c r="J12" i="5"/>
  <c r="G12" i="5"/>
  <c r="D12" i="5"/>
  <c r="M11" i="5"/>
  <c r="J11" i="5"/>
  <c r="G11" i="5"/>
  <c r="D11" i="5"/>
  <c r="M10" i="5"/>
  <c r="J10" i="5"/>
  <c r="G10" i="5"/>
  <c r="D10" i="5"/>
  <c r="M9" i="5"/>
  <c r="J9" i="5"/>
  <c r="G9" i="5"/>
  <c r="D9" i="5"/>
  <c r="M8" i="5"/>
  <c r="J8" i="5"/>
  <c r="G8" i="5"/>
  <c r="D8" i="5"/>
  <c r="M7" i="5"/>
  <c r="J7" i="5"/>
  <c r="G7" i="5"/>
  <c r="D7" i="5"/>
  <c r="M6" i="5"/>
  <c r="J6" i="5"/>
  <c r="G6" i="5"/>
  <c r="D6" i="5"/>
  <c r="M5" i="5"/>
  <c r="J5" i="5"/>
  <c r="G5" i="5"/>
  <c r="D5" i="5"/>
  <c r="M4" i="5"/>
  <c r="J4" i="5"/>
  <c r="G4" i="5"/>
  <c r="D4" i="5"/>
  <c r="M3" i="5"/>
  <c r="J3" i="5"/>
  <c r="G3" i="5"/>
  <c r="D3" i="5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<sst xmlns="http://schemas.openxmlformats.org/spreadsheetml/2006/main" count="38" uniqueCount="17">
  <si>
    <t>Current(A)</t>
  </si>
  <si>
    <t>Magnetic Flux Density(*10 Gauss)</t>
  </si>
  <si>
    <t>Table 1: Calibration of Magnetic field</t>
  </si>
  <si>
    <t>Voltage(mV) at T=45degrees</t>
  </si>
  <si>
    <t>Hall Voltage(mV) at 1A, 157*10Gauss, Rtemp=33.7degrees</t>
  </si>
  <si>
    <t>Table 2: Voltage as a function of sample current(B=0), P-type</t>
  </si>
  <si>
    <t>Table 2': Voltage as a function of sample current(B=0), N-type</t>
  </si>
  <si>
    <t>Table 3: Voltage as a function of sample current(B=non zero), P-type</t>
  </si>
  <si>
    <t>Table 3': Voltage as a function of sample current(B=non zero), N-type</t>
  </si>
  <si>
    <t>T=45degrees</t>
  </si>
  <si>
    <t>Avg Magnetic Flux Density(*10 Gauss)</t>
  </si>
  <si>
    <t>Voltage(mV) at Rtp=33.7degrees</t>
  </si>
  <si>
    <t xml:space="preserve">Hall Voltage(mV) at 2A, 3010Gauss, Rtemp=33.7degrees </t>
  </si>
  <si>
    <t>Net Hall Voltage (mV)</t>
  </si>
  <si>
    <t>Net Hall Voltage</t>
  </si>
  <si>
    <t>For plotting</t>
  </si>
  <si>
    <t>For Plotting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</si>
</sst>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Avg Magnetic Flux Density(*10 Gauss)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</c:v>
                </c:pt>
                <c:pt idx="1">
                  <c:v>76.5</c:v>
                </c:pt>
                <c:pt idx="2">
                  <c:v>157</c:v>
                </c:pt>
                <c:pt idx="3">
                  <c:v>231.5</c:v>
                </c:pt>
                <c:pt idx="4">
                  <c:v>301</c:v>
                </c:pt>
                <c:pt idx="5">
                  <c:v>364.5</c:v>
                </c:pt>
                <c:pt idx="6">
                  <c:v>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B-4FA1-B097-5E850E904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038271"/>
        <c:axId val="701542703"/>
      </c:scatterChart>
      <c:valAx>
        <c:axId val="62203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42703"/>
        <c:crosses val="autoZero"/>
        <c:crossBetween val="midCat"/>
      </c:valAx>
      <c:valAx>
        <c:axId val="7015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Magnetic Flux Density (*10 Gauss)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03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 type semiconductor</a:t>
            </a:r>
            <a:r>
              <a:rPr lang="en-IN" baseline="0"/>
              <a:t> [at 33.7</a:t>
            </a:r>
            <a:r>
              <a:rPr lang="en-IN" sz="1400" b="0" i="0" u="none" strike="noStrike" baseline="0"/>
              <a:t>°C)</a:t>
            </a:r>
            <a:r>
              <a:rPr lang="en-IN" baseline="0"/>
              <a:t>]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Voltage(mV) at Rtp=33.7degrees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Sheet2!$B$2:$B$16</c:f>
              <c:numCache>
                <c:formatCode>General</c:formatCode>
                <c:ptCount val="15"/>
                <c:pt idx="0">
                  <c:v>2.2999999999999998</c:v>
                </c:pt>
                <c:pt idx="1">
                  <c:v>3.6</c:v>
                </c:pt>
                <c:pt idx="2">
                  <c:v>5.5</c:v>
                </c:pt>
                <c:pt idx="3">
                  <c:v>7.8</c:v>
                </c:pt>
                <c:pt idx="4">
                  <c:v>11</c:v>
                </c:pt>
                <c:pt idx="5">
                  <c:v>14.4</c:v>
                </c:pt>
                <c:pt idx="6">
                  <c:v>16.899999999999999</c:v>
                </c:pt>
                <c:pt idx="7">
                  <c:v>18.600000000000001</c:v>
                </c:pt>
                <c:pt idx="8">
                  <c:v>20.7</c:v>
                </c:pt>
                <c:pt idx="9">
                  <c:v>22.5</c:v>
                </c:pt>
                <c:pt idx="10">
                  <c:v>24.7</c:v>
                </c:pt>
                <c:pt idx="11">
                  <c:v>25.3</c:v>
                </c:pt>
                <c:pt idx="12">
                  <c:v>25.2</c:v>
                </c:pt>
                <c:pt idx="13">
                  <c:v>25.2</c:v>
                </c:pt>
                <c:pt idx="14">
                  <c:v>25.1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8-4662-8E1C-4EE9BA8C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839887"/>
        <c:axId val="701599343"/>
      </c:scatterChart>
      <c:valAx>
        <c:axId val="55783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99343"/>
        <c:crosses val="autoZero"/>
        <c:crossBetween val="midCat"/>
      </c:valAx>
      <c:valAx>
        <c:axId val="701599343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83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</a:t>
            </a:r>
            <a:r>
              <a:rPr lang="en-IN" baseline="0"/>
              <a:t> type semiconductor [at 45</a:t>
            </a:r>
            <a:r>
              <a:rPr lang="en-IN" sz="1400" b="0" i="0" u="none" strike="noStrike" baseline="0"/>
              <a:t>°C]</a:t>
            </a:r>
            <a:r>
              <a:rPr lang="en-IN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Voltage(mV) at T=45degrees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Sheet2!$C$2:$C$16</c:f>
              <c:numCache>
                <c:formatCode>General</c:formatCode>
                <c:ptCount val="15"/>
                <c:pt idx="0">
                  <c:v>1.8</c:v>
                </c:pt>
                <c:pt idx="1">
                  <c:v>4</c:v>
                </c:pt>
                <c:pt idx="2">
                  <c:v>6.1</c:v>
                </c:pt>
                <c:pt idx="3">
                  <c:v>8.1999999999999993</c:v>
                </c:pt>
                <c:pt idx="4">
                  <c:v>11.7</c:v>
                </c:pt>
                <c:pt idx="5">
                  <c:v>15.3</c:v>
                </c:pt>
                <c:pt idx="6">
                  <c:v>17.5</c:v>
                </c:pt>
                <c:pt idx="7">
                  <c:v>19.8</c:v>
                </c:pt>
                <c:pt idx="8">
                  <c:v>21.7</c:v>
                </c:pt>
                <c:pt idx="9">
                  <c:v>23.6</c:v>
                </c:pt>
                <c:pt idx="10">
                  <c:v>26.2</c:v>
                </c:pt>
                <c:pt idx="11">
                  <c:v>29.4</c:v>
                </c:pt>
                <c:pt idx="12">
                  <c:v>29.5</c:v>
                </c:pt>
                <c:pt idx="13">
                  <c:v>30.4</c:v>
                </c:pt>
                <c:pt idx="14">
                  <c:v>30.3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B-419C-8436-85DA9BF84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170943"/>
        <c:axId val="701508623"/>
      </c:scatterChart>
      <c:valAx>
        <c:axId val="10741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08623"/>
        <c:crosses val="autoZero"/>
        <c:crossBetween val="midCat"/>
      </c:valAx>
      <c:valAx>
        <c:axId val="7015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 type Semiconductor [at 37</a:t>
            </a:r>
            <a:r>
              <a:rPr lang="en-IN" sz="1400" b="0" i="0" u="none" strike="noStrike" baseline="0"/>
              <a:t>°C]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Sheet2!$A$20:$A$26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Sheet2!$B$20:$B$26</c:f>
              <c:numCache>
                <c:formatCode>General</c:formatCode>
                <c:ptCount val="7"/>
                <c:pt idx="0">
                  <c:v>-1.4</c:v>
                </c:pt>
                <c:pt idx="1">
                  <c:v>-1.8</c:v>
                </c:pt>
                <c:pt idx="2">
                  <c:v>-2.2999999999999998</c:v>
                </c:pt>
                <c:pt idx="3">
                  <c:v>-3.1</c:v>
                </c:pt>
                <c:pt idx="4">
                  <c:v>-3.9</c:v>
                </c:pt>
                <c:pt idx="5">
                  <c:v>-3.9</c:v>
                </c:pt>
                <c:pt idx="6">
                  <c:v>-3.9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A-40D4-84E1-EFEDDD629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88991"/>
        <c:axId val="701539343"/>
      </c:scatterChart>
      <c:valAx>
        <c:axId val="103008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39343"/>
        <c:crosses val="autoZero"/>
        <c:crossBetween val="midCat"/>
      </c:valAx>
      <c:valAx>
        <c:axId val="701539343"/>
        <c:scaling>
          <c:orientation val="minMax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8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 type Semiconductor [at 45</a:t>
            </a:r>
            <a:r>
              <a:rPr lang="en-IN" sz="1400" b="0" i="0" u="none" strike="noStrike" baseline="0"/>
              <a:t>°C]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8479833360543228E-2"/>
          <c:y val="0.1491952470831043"/>
          <c:w val="0.86080084074495511"/>
          <c:h val="0.716084594273231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Sheet2!$A$20:$A$28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Sheet2!$C$20:$C$28</c:f>
              <c:numCache>
                <c:formatCode>General</c:formatCode>
                <c:ptCount val="9"/>
                <c:pt idx="0">
                  <c:v>-1.2</c:v>
                </c:pt>
                <c:pt idx="1">
                  <c:v>-1.6</c:v>
                </c:pt>
                <c:pt idx="2">
                  <c:v>-2.1</c:v>
                </c:pt>
                <c:pt idx="3">
                  <c:v>-2.8</c:v>
                </c:pt>
                <c:pt idx="4">
                  <c:v>-3.8</c:v>
                </c:pt>
                <c:pt idx="5">
                  <c:v>-4.7</c:v>
                </c:pt>
                <c:pt idx="6">
                  <c:v>-5.3</c:v>
                </c:pt>
                <c:pt idx="7">
                  <c:v>-5.3</c:v>
                </c:pt>
                <c:pt idx="8">
                  <c:v>-5.2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1-40D5-9FE8-4F3D6F381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722271"/>
        <c:axId val="701569583"/>
      </c:scatterChart>
      <c:valAx>
        <c:axId val="102572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69583"/>
        <c:crosses val="autoZero"/>
        <c:crossBetween val="midCat"/>
      </c:valAx>
      <c:valAx>
        <c:axId val="70156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72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[P Type] At</a:t>
            </a:r>
            <a:r>
              <a:rPr lang="en-IN" baseline="0"/>
              <a:t> i=1A, B=1570 Gauss, T=33.7</a:t>
            </a:r>
            <a:r>
              <a:rPr lang="en-IN" sz="1400" b="0" i="0" u="none" strike="noStrike" baseline="0"/>
              <a:t>°C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Sheet3!$B$2:$B$16</c:f>
              <c:numCache>
                <c:formatCode>General</c:formatCode>
                <c:ptCount val="15"/>
                <c:pt idx="0">
                  <c:v>1.9</c:v>
                </c:pt>
                <c:pt idx="1">
                  <c:v>5.9</c:v>
                </c:pt>
                <c:pt idx="2">
                  <c:v>8.9</c:v>
                </c:pt>
                <c:pt idx="3">
                  <c:v>12</c:v>
                </c:pt>
                <c:pt idx="4">
                  <c:v>17.100000000000001</c:v>
                </c:pt>
                <c:pt idx="5">
                  <c:v>22.6</c:v>
                </c:pt>
                <c:pt idx="6">
                  <c:v>25.5</c:v>
                </c:pt>
                <c:pt idx="7">
                  <c:v>28.8</c:v>
                </c:pt>
                <c:pt idx="8">
                  <c:v>31.8</c:v>
                </c:pt>
                <c:pt idx="9">
                  <c:v>34.4</c:v>
                </c:pt>
                <c:pt idx="10">
                  <c:v>38.200000000000003</c:v>
                </c:pt>
                <c:pt idx="11">
                  <c:v>39.700000000000003</c:v>
                </c:pt>
                <c:pt idx="12">
                  <c:v>39.9</c:v>
                </c:pt>
                <c:pt idx="13">
                  <c:v>39.6</c:v>
                </c:pt>
                <c:pt idx="14">
                  <c:v>39.4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6-4AF6-A47F-7F0520C1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66047"/>
        <c:axId val="701555183"/>
      </c:scatterChart>
      <c:valAx>
        <c:axId val="56006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55183"/>
        <c:crosses val="autoZero"/>
        <c:crossBetween val="midCat"/>
      </c:valAx>
      <c:valAx>
        <c:axId val="70155518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66047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[P Type] At i=1A, B=1570 Gauss, T=45°C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Sheet3!$C$2:$C$16</c:f>
              <c:numCache>
                <c:formatCode>General</c:formatCode>
                <c:ptCount val="15"/>
                <c:pt idx="0">
                  <c:v>4.2</c:v>
                </c:pt>
                <c:pt idx="1">
                  <c:v>6.6</c:v>
                </c:pt>
                <c:pt idx="2">
                  <c:v>9.3000000000000007</c:v>
                </c:pt>
                <c:pt idx="3">
                  <c:v>13.3</c:v>
                </c:pt>
                <c:pt idx="4">
                  <c:v>18.3</c:v>
                </c:pt>
                <c:pt idx="5">
                  <c:v>24.2</c:v>
                </c:pt>
                <c:pt idx="6">
                  <c:v>28.5</c:v>
                </c:pt>
                <c:pt idx="7">
                  <c:v>31.5</c:v>
                </c:pt>
                <c:pt idx="8">
                  <c:v>34.799999999999997</c:v>
                </c:pt>
                <c:pt idx="9">
                  <c:v>37.9</c:v>
                </c:pt>
                <c:pt idx="10">
                  <c:v>41.4</c:v>
                </c:pt>
                <c:pt idx="11">
                  <c:v>44.8</c:v>
                </c:pt>
                <c:pt idx="12">
                  <c:v>45.1</c:v>
                </c:pt>
                <c:pt idx="13">
                  <c:v>44.7</c:v>
                </c:pt>
                <c:pt idx="14">
                  <c:v>44.3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D-4B3E-BD09-1151139A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7167"/>
        <c:axId val="701627183"/>
      </c:scatterChart>
      <c:valAx>
        <c:axId val="62257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27183"/>
        <c:crosses val="autoZero"/>
        <c:crossBetween val="midCat"/>
      </c:valAx>
      <c:valAx>
        <c:axId val="701627183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577167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[P Type] At i=2A, B=3010 Gauss, T=33.7°C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Sheet3!$D$2:$D$16</c:f>
              <c:numCache>
                <c:formatCode>General</c:formatCode>
                <c:ptCount val="15"/>
                <c:pt idx="0">
                  <c:v>5.3</c:v>
                </c:pt>
                <c:pt idx="1">
                  <c:v>7.8</c:v>
                </c:pt>
                <c:pt idx="2">
                  <c:v>11.4</c:v>
                </c:pt>
                <c:pt idx="3">
                  <c:v>16.2</c:v>
                </c:pt>
                <c:pt idx="4">
                  <c:v>22.7</c:v>
                </c:pt>
                <c:pt idx="5">
                  <c:v>29.9</c:v>
                </c:pt>
                <c:pt idx="6">
                  <c:v>34.299999999999997</c:v>
                </c:pt>
                <c:pt idx="7">
                  <c:v>37.700000000000003</c:v>
                </c:pt>
                <c:pt idx="8">
                  <c:v>41.5</c:v>
                </c:pt>
                <c:pt idx="9">
                  <c:v>45.3</c:v>
                </c:pt>
                <c:pt idx="10">
                  <c:v>49.7</c:v>
                </c:pt>
                <c:pt idx="11">
                  <c:v>53.5</c:v>
                </c:pt>
                <c:pt idx="12">
                  <c:v>53.5</c:v>
                </c:pt>
                <c:pt idx="13">
                  <c:v>53.3</c:v>
                </c:pt>
                <c:pt idx="14">
                  <c:v>52.9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A-4224-9B9C-E1B50AF55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208256"/>
        <c:axId val="982388368"/>
      </c:scatterChart>
      <c:valAx>
        <c:axId val="10352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388368"/>
        <c:crosses val="autoZero"/>
        <c:crossBetween val="midCat"/>
      </c:valAx>
      <c:valAx>
        <c:axId val="98238836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0825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[P Type] At i=2A, B=3010 Gauss, T=45°C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Sheet3!$A$2:$A$16</c:f>
              <c:numCache>
                <c:formatCode>General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</c:numCache>
            </c:numRef>
          </c:xVal>
          <c:yVal>
            <c:numRef>
              <c:f>Sheet3!$E$2:$E$16</c:f>
              <c:numCache>
                <c:formatCode>General</c:formatCode>
                <c:ptCount val="15"/>
                <c:pt idx="0">
                  <c:v>5.5</c:v>
                </c:pt>
                <c:pt idx="1">
                  <c:v>8.1</c:v>
                </c:pt>
                <c:pt idx="2">
                  <c:v>11.5</c:v>
                </c:pt>
                <c:pt idx="3">
                  <c:v>16.7</c:v>
                </c:pt>
                <c:pt idx="4">
                  <c:v>23.3</c:v>
                </c:pt>
                <c:pt idx="5">
                  <c:v>30.1</c:v>
                </c:pt>
                <c:pt idx="6">
                  <c:v>34.6</c:v>
                </c:pt>
                <c:pt idx="7">
                  <c:v>39.299999999999997</c:v>
                </c:pt>
                <c:pt idx="8">
                  <c:v>42.5</c:v>
                </c:pt>
                <c:pt idx="9">
                  <c:v>46.8</c:v>
                </c:pt>
                <c:pt idx="10">
                  <c:v>51.4</c:v>
                </c:pt>
                <c:pt idx="11">
                  <c:v>53.8</c:v>
                </c:pt>
                <c:pt idx="12">
                  <c:v>54.7</c:v>
                </c:pt>
                <c:pt idx="13">
                  <c:v>54.1</c:v>
                </c:pt>
                <c:pt idx="14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4-459C-AAF6-BC2DB48E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80960"/>
        <c:axId val="1140859696"/>
      </c:scatterChart>
      <c:valAx>
        <c:axId val="5839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59696"/>
        <c:crosses val="autoZero"/>
        <c:crossBetween val="midCat"/>
      </c:valAx>
      <c:valAx>
        <c:axId val="1140859696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096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[N Type] At i=1A, B=1570 Gauss, T=33.7°C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Sheet3!$A$20:$A$28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</c:numCache>
            </c:numRef>
          </c:xVal>
          <c:yVal>
            <c:numRef>
              <c:f>Sheet3!$B$20:$B$28</c:f>
              <c:numCache>
                <c:formatCode>General</c:formatCode>
                <c:ptCount val="9"/>
                <c:pt idx="0">
                  <c:v>-3.1</c:v>
                </c:pt>
                <c:pt idx="1">
                  <c:v>-4.2</c:v>
                </c:pt>
                <c:pt idx="2">
                  <c:v>-5.6</c:v>
                </c:pt>
                <c:pt idx="3">
                  <c:v>-7.4</c:v>
                </c:pt>
                <c:pt idx="4">
                  <c:v>-10.3</c:v>
                </c:pt>
                <c:pt idx="5">
                  <c:v>-10.6</c:v>
                </c:pt>
                <c:pt idx="6">
                  <c:v>-10.5</c:v>
                </c:pt>
                <c:pt idx="7">
                  <c:v>-10.5</c:v>
                </c:pt>
                <c:pt idx="8">
                  <c:v>-10.5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E-4605-BA1E-69B71D46F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089024"/>
        <c:axId val="1140969616"/>
      </c:scatterChart>
      <c:valAx>
        <c:axId val="97408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69616"/>
        <c:crosses val="autoZero"/>
        <c:crossBetween val="midCat"/>
      </c:valAx>
      <c:valAx>
        <c:axId val="1140969616"/>
        <c:scaling>
          <c:orientation val="minMax"/>
          <c:max val="0"/>
          <c:min val="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8902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[N Type] At i=1A, B=1570 Gauss, T=45°C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Sheet3!$A$20:$A$31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Sheet3!$C$20:$C$31</c:f>
              <c:numCache>
                <c:formatCode>General</c:formatCode>
                <c:ptCount val="12"/>
                <c:pt idx="0">
                  <c:v>-2.8</c:v>
                </c:pt>
                <c:pt idx="1">
                  <c:v>-3.7</c:v>
                </c:pt>
                <c:pt idx="2">
                  <c:v>-4.8</c:v>
                </c:pt>
                <c:pt idx="3">
                  <c:v>-6.2</c:v>
                </c:pt>
                <c:pt idx="4">
                  <c:v>-7.9</c:v>
                </c:pt>
                <c:pt idx="5">
                  <c:v>-9.1999999999999993</c:v>
                </c:pt>
                <c:pt idx="6">
                  <c:v>-10.8</c:v>
                </c:pt>
                <c:pt idx="7">
                  <c:v>-12.4</c:v>
                </c:pt>
                <c:pt idx="8">
                  <c:v>-12.9</c:v>
                </c:pt>
                <c:pt idx="9">
                  <c:v>-13</c:v>
                </c:pt>
                <c:pt idx="10">
                  <c:v>-13.2</c:v>
                </c:pt>
                <c:pt idx="11">
                  <c:v>-13.2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0-4461-A86F-AC8E856FE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80960"/>
        <c:axId val="1140901456"/>
      </c:scatterChart>
      <c:valAx>
        <c:axId val="5839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01456"/>
        <c:crosses val="autoZero"/>
        <c:crossBetween val="midCat"/>
      </c:valAx>
      <c:valAx>
        <c:axId val="1140901456"/>
        <c:scaling>
          <c:orientation val="minMax"/>
          <c:max val="0"/>
          <c:min val="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8096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[N Type] At i=2A, B=3010 Gauss, T=33.7°C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Sheet3!$A$20:$A$27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xVal>
          <c:yVal>
            <c:numRef>
              <c:f>Sheet3!$D$20:$D$27</c:f>
              <c:numCache>
                <c:formatCode>General</c:formatCode>
                <c:ptCount val="8"/>
                <c:pt idx="0">
                  <c:v>-4.7</c:v>
                </c:pt>
                <c:pt idx="1">
                  <c:v>-6.3</c:v>
                </c:pt>
                <c:pt idx="2">
                  <c:v>-8.5</c:v>
                </c:pt>
                <c:pt idx="3">
                  <c:v>-11.7</c:v>
                </c:pt>
                <c:pt idx="4">
                  <c:v>-15.8</c:v>
                </c:pt>
                <c:pt idx="5">
                  <c:v>-16.600000000000001</c:v>
                </c:pt>
                <c:pt idx="6">
                  <c:v>-16.600000000000001</c:v>
                </c:pt>
                <c:pt idx="7">
                  <c:v>-16.600000000000001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6-4B7F-B409-7747242F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150224"/>
        <c:axId val="1140872656"/>
      </c:scatterChart>
      <c:valAx>
        <c:axId val="129515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72656"/>
        <c:crosses val="autoZero"/>
        <c:crossBetween val="midCat"/>
      </c:valAx>
      <c:valAx>
        <c:axId val="1140872656"/>
        <c:scaling>
          <c:orientation val="minMax"/>
          <c:max val="0"/>
          <c:min val="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</a:t>
                </a:r>
                <a:r>
                  <a:rPr lang="en-IN" baseline="0"/>
                  <a:t> (mV)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50224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[N Type] At i=2A, B=3010 Gauss, T=45°C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Sheet3!$A$20:$A$31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</c:numCache>
            </c:numRef>
          </c:xVal>
          <c:yVal>
            <c:numRef>
              <c:f>Sheet3!$E$20:$E$31</c:f>
              <c:numCache>
                <c:formatCode>General</c:formatCode>
                <c:ptCount val="12"/>
                <c:pt idx="0">
                  <c:v>-3.6</c:v>
                </c:pt>
                <c:pt idx="1">
                  <c:v>-5</c:v>
                </c:pt>
                <c:pt idx="2">
                  <c:v>-6.9</c:v>
                </c:pt>
                <c:pt idx="3">
                  <c:v>-9.6999999999999993</c:v>
                </c:pt>
                <c:pt idx="4">
                  <c:v>-14.2</c:v>
                </c:pt>
                <c:pt idx="5">
                  <c:v>-17.8</c:v>
                </c:pt>
                <c:pt idx="6">
                  <c:v>-20.5</c:v>
                </c:pt>
                <c:pt idx="7">
                  <c:v>-20.8</c:v>
                </c:pt>
                <c:pt idx="8">
                  <c:v>-20.9</c:v>
                </c:pt>
                <c:pt idx="9">
                  <c:v>-21.2</c:v>
                </c:pt>
                <c:pt idx="10">
                  <c:v>-21.3</c:v>
                </c:pt>
                <c:pt idx="11">
                  <c:v>-21.3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9-4E55-BE9E-7FF7E3D62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199408"/>
        <c:axId val="1140860656"/>
      </c:scatterChart>
      <c:valAx>
        <c:axId val="12951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60656"/>
        <c:crosses val="autoZero"/>
        <c:crossBetween val="midCat"/>
      </c:valAx>
      <c:valAx>
        <c:axId val="1140860656"/>
        <c:scaling>
          <c:orientation val="minMax"/>
          <c:max val="0"/>
          <c:min val="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Hall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19940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127456</xdr:colOff>
      <xdr:row>0</xdr:row>
      <xdr:rowOff>0</xdr:rowOff>
    </xdr:from>
    <xdr:to>
      <xdr:col>10</xdr:col>
      <xdr:colOff>251709</xdr:colOff>
      <xdr:row>14</xdr:row>
      <xdr:rowOff>104001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BC6B5-F3ED-8D4E-AEAD-20A5B4D4F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688975</xdr:colOff>
      <xdr:row>0</xdr:row>
      <xdr:rowOff>133350</xdr:rowOff>
    </xdr:from>
    <xdr:to>
      <xdr:col>8</xdr:col>
      <xdr:colOff>550333</xdr:colOff>
      <xdr:row>13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99F3B-2002-9B4A-3D28-C9CDDE96B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17590</xdr:colOff>
      <xdr:row>0</xdr:row>
      <xdr:rowOff>113293</xdr:rowOff>
    </xdr:from>
    <xdr:to>
      <xdr:col>15</xdr:col>
      <xdr:colOff>21167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7E8A54-D75D-47F4-9FF3-993990B0E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672294</xdr:colOff>
      <xdr:row>16</xdr:row>
      <xdr:rowOff>79829</xdr:rowOff>
    </xdr:from>
    <xdr:to>
      <xdr:col>8</xdr:col>
      <xdr:colOff>539750</xdr:colOff>
      <xdr:row>28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595F1F-400C-06C1-F11C-56647CB79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584770</xdr:colOff>
      <xdr:row>16</xdr:row>
      <xdr:rowOff>84686</xdr:rowOff>
    </xdr:from>
    <xdr:to>
      <xdr:col>15</xdr:col>
      <xdr:colOff>10585</xdr:colOff>
      <xdr:row>28</xdr:row>
      <xdr:rowOff>63499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4B8004-7A21-3C1F-CFA4-2E4EA7CF1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89800</xdr:colOff>
      <xdr:row>0</xdr:row>
      <xdr:rowOff>44450</xdr:rowOff>
    </xdr:from>
    <xdr:to>
      <xdr:col>12</xdr:col>
      <xdr:colOff>394600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B477D-9AC3-E82F-0349-AAB3ED0D9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480943</xdr:colOff>
      <xdr:row>0</xdr:row>
      <xdr:rowOff>69755</xdr:rowOff>
    </xdr:from>
    <xdr:to>
      <xdr:col>20</xdr:col>
      <xdr:colOff>179175</xdr:colOff>
      <xdr:row>15</xdr:row>
      <xdr:rowOff>50705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2DA505-9432-71BE-C672-9D2C00F0A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232491</xdr:colOff>
      <xdr:row>0</xdr:row>
      <xdr:rowOff>116417</xdr:rowOff>
    </xdr:from>
    <xdr:to>
      <xdr:col>27</xdr:col>
      <xdr:colOff>444500</xdr:colOff>
      <xdr:row>15</xdr:row>
      <xdr:rowOff>21167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C579F1-9E32-66AC-D5CE-982EFF1A1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524742</xdr:colOff>
      <xdr:row>0</xdr:row>
      <xdr:rowOff>114532</xdr:rowOff>
    </xdr:from>
    <xdr:to>
      <xdr:col>34</xdr:col>
      <xdr:colOff>552450</xdr:colOff>
      <xdr:row>15</xdr:row>
      <xdr:rowOff>48683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A2648F-8893-1269-7949-595C79DAD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63672</xdr:colOff>
      <xdr:row>17</xdr:row>
      <xdr:rowOff>1673</xdr:rowOff>
    </xdr:from>
    <xdr:to>
      <xdr:col>12</xdr:col>
      <xdr:colOff>370418</xdr:colOff>
      <xdr:row>31</xdr:row>
      <xdr:rowOff>52917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0B4A2A-447E-3D2C-4D2B-976CCF704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440971</xdr:colOff>
      <xdr:row>16</xdr:row>
      <xdr:rowOff>176388</xdr:rowOff>
    </xdr:from>
    <xdr:to>
      <xdr:col>20</xdr:col>
      <xdr:colOff>185207</xdr:colOff>
      <xdr:row>31</xdr:row>
      <xdr:rowOff>52916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5409E9-A643-7D94-52ED-FCE53A57C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234597</xdr:colOff>
      <xdr:row>17</xdr:row>
      <xdr:rowOff>5998</xdr:rowOff>
    </xdr:from>
    <xdr:to>
      <xdr:col>27</xdr:col>
      <xdr:colOff>490683</xdr:colOff>
      <xdr:row>31</xdr:row>
      <xdr:rowOff>38485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493057-BFB5-9B16-44A3-D9DDE8E36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554430</xdr:colOff>
      <xdr:row>17</xdr:row>
      <xdr:rowOff>17098</xdr:rowOff>
    </xdr:from>
    <xdr:to>
      <xdr:col>34</xdr:col>
      <xdr:colOff>571500</xdr:colOff>
      <xdr:row>31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29C0FA-F0D0-209E-D8EA-457E5BB3D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57FA-1003-4DCE-9B00-321B053B5B29}">
  <dimension ref="A1:D11"/>
  <sheetViews>
    <sheetView tabSelected="1" zoomScale="111" workbookViewId="0">
      <selection activeCell="D5" sqref="D5"/>
    </sheetView>
  </sheetViews>
  <sheetFormatPr defaultRowHeight="14.5" x14ac:dyDescent="0.35"/>
  <cols>
    <col min="1" max="1" width="9.36328125" bestFit="1" customWidth="1"/>
    <col min="2" max="2" width="28.453125" bestFit="1" customWidth="1"/>
    <col min="4" max="4" width="32.54296875" bestFit="1" customWidth="1"/>
  </cols>
  <sheetData>
    <row r="1" spans="1:4" x14ac:dyDescent="0.35">
      <c r="A1" t="s">
        <v>0</v>
      </c>
      <c r="B1" t="s">
        <v>1</v>
      </c>
      <c r="D1" t="s">
        <v>10</v>
      </c>
    </row>
    <row r="2" spans="1:4" x14ac:dyDescent="0.35">
      <c r="A2">
        <v>0</v>
      </c>
      <c r="B2">
        <v>1</v>
      </c>
      <c r="C2">
        <v>1</v>
      </c>
      <c r="D2">
        <f>AVERAGE(B2,C2)</f>
        <v>1</v>
      </c>
    </row>
    <row r="3" spans="1:4" x14ac:dyDescent="0.35">
      <c r="A3">
        <v>0.5</v>
      </c>
      <c r="B3">
        <v>68</v>
      </c>
      <c r="C3">
        <v>85</v>
      </c>
      <c r="D3">
        <f t="shared" ref="D3:D8" si="0">AVERAGE(B3,C3)</f>
        <v>76.5</v>
      </c>
    </row>
    <row r="4" spans="1:4" x14ac:dyDescent="0.35">
      <c r="A4">
        <v>1</v>
      </c>
      <c r="B4">
        <v>147</v>
      </c>
      <c r="C4">
        <v>167</v>
      </c>
      <c r="D4">
        <f t="shared" si="0"/>
        <v>157</v>
      </c>
    </row>
    <row r="5" spans="1:4" x14ac:dyDescent="0.35">
      <c r="A5">
        <v>1.5</v>
      </c>
      <c r="B5">
        <v>222</v>
      </c>
      <c r="C5">
        <v>241</v>
      </c>
      <c r="D5">
        <f t="shared" si="0"/>
        <v>231.5</v>
      </c>
    </row>
    <row r="6" spans="1:4" x14ac:dyDescent="0.35">
      <c r="A6">
        <v>2</v>
      </c>
      <c r="B6">
        <v>293</v>
      </c>
      <c r="C6">
        <v>309</v>
      </c>
      <c r="D6">
        <f t="shared" si="0"/>
        <v>301</v>
      </c>
    </row>
    <row r="7" spans="1:4" x14ac:dyDescent="0.35">
      <c r="A7">
        <v>2.5</v>
      </c>
      <c r="B7">
        <v>359</v>
      </c>
      <c r="C7">
        <v>370</v>
      </c>
      <c r="D7">
        <f t="shared" si="0"/>
        <v>364.5</v>
      </c>
    </row>
    <row r="8" spans="1:4" x14ac:dyDescent="0.35">
      <c r="A8">
        <v>3</v>
      </c>
      <c r="B8">
        <v>424</v>
      </c>
      <c r="C8">
        <v>424</v>
      </c>
      <c r="D8">
        <f t="shared" si="0"/>
        <v>424</v>
      </c>
    </row>
    <row r="11" spans="1:4" x14ac:dyDescent="0.35">
      <c r="B11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F1A0-CEE9-4F6F-A783-F0BEE539FC6F}">
  <dimension ref="A1:C29"/>
  <sheetViews>
    <sheetView zoomScale="40" zoomScaleNormal="40" workbookViewId="0">
      <selection activeCell="Q37" sqref="Q37"/>
    </sheetView>
  </sheetViews>
  <sheetFormatPr defaultRowHeight="14.5" x14ac:dyDescent="0.35"/>
  <cols>
    <col min="1" max="1" width="9.36328125" bestFit="1" customWidth="1"/>
    <col min="2" max="2" width="51.1796875" bestFit="1" customWidth="1"/>
    <col min="3" max="3" width="24.1796875" bestFit="1" customWidth="1"/>
    <col min="4" max="4" width="17.453125" bestFit="1" customWidth="1"/>
    <col min="8" max="8" width="15" bestFit="1" customWidth="1"/>
    <col min="17" max="17" width="9.6328125" bestFit="1" customWidth="1"/>
    <col min="18" max="18" width="52.453125" bestFit="1" customWidth="1"/>
    <col min="19" max="19" width="24.36328125" bestFit="1" customWidth="1"/>
  </cols>
  <sheetData>
    <row r="1" spans="1:3" x14ac:dyDescent="0.35">
      <c r="A1" t="s">
        <v>0</v>
      </c>
      <c r="B1" t="s">
        <v>11</v>
      </c>
      <c r="C1" t="s">
        <v>3</v>
      </c>
    </row>
    <row r="2" spans="1:3" x14ac:dyDescent="0.35">
      <c r="A2">
        <v>0</v>
      </c>
      <c r="B2">
        <v>2.2999999999999998</v>
      </c>
      <c r="C2">
        <v>1.8</v>
      </c>
    </row>
    <row r="3" spans="1:3" x14ac:dyDescent="0.35">
      <c r="A3">
        <v>0.5</v>
      </c>
      <c r="B3">
        <v>3.6</v>
      </c>
      <c r="C3">
        <v>4</v>
      </c>
    </row>
    <row r="4" spans="1:3" x14ac:dyDescent="0.35">
      <c r="A4">
        <v>1</v>
      </c>
      <c r="B4">
        <v>5.5</v>
      </c>
      <c r="C4">
        <v>6.1</v>
      </c>
    </row>
    <row r="5" spans="1:3" x14ac:dyDescent="0.35">
      <c r="A5">
        <v>1.5</v>
      </c>
      <c r="B5">
        <v>7.8</v>
      </c>
      <c r="C5">
        <v>8.1999999999999993</v>
      </c>
    </row>
    <row r="6" spans="1:3" x14ac:dyDescent="0.35">
      <c r="A6">
        <v>2</v>
      </c>
      <c r="B6">
        <v>11</v>
      </c>
      <c r="C6">
        <v>11.7</v>
      </c>
    </row>
    <row r="7" spans="1:3" x14ac:dyDescent="0.35">
      <c r="A7">
        <v>2.5</v>
      </c>
      <c r="B7">
        <v>14.4</v>
      </c>
      <c r="C7">
        <v>15.3</v>
      </c>
    </row>
    <row r="8" spans="1:3" x14ac:dyDescent="0.35">
      <c r="A8">
        <v>3</v>
      </c>
      <c r="B8">
        <v>16.899999999999999</v>
      </c>
      <c r="C8">
        <v>17.5</v>
      </c>
    </row>
    <row r="9" spans="1:3" x14ac:dyDescent="0.35">
      <c r="A9">
        <v>3.5</v>
      </c>
      <c r="B9">
        <v>18.600000000000001</v>
      </c>
      <c r="C9">
        <v>19.8</v>
      </c>
    </row>
    <row r="10" spans="1:3" x14ac:dyDescent="0.35">
      <c r="A10">
        <v>4</v>
      </c>
      <c r="B10">
        <v>20.7</v>
      </c>
      <c r="C10">
        <v>21.7</v>
      </c>
    </row>
    <row r="11" spans="1:3" x14ac:dyDescent="0.35">
      <c r="A11">
        <v>4.5</v>
      </c>
      <c r="B11">
        <v>22.5</v>
      </c>
      <c r="C11">
        <v>23.6</v>
      </c>
    </row>
    <row r="12" spans="1:3" x14ac:dyDescent="0.35">
      <c r="A12">
        <v>5</v>
      </c>
      <c r="B12">
        <v>24.7</v>
      </c>
      <c r="C12">
        <v>26.2</v>
      </c>
    </row>
    <row r="13" spans="1:3" x14ac:dyDescent="0.35">
      <c r="A13">
        <v>5.5</v>
      </c>
      <c r="B13">
        <v>25.3</v>
      </c>
      <c r="C13">
        <v>29.4</v>
      </c>
    </row>
    <row r="14" spans="1:3" x14ac:dyDescent="0.35">
      <c r="A14">
        <v>6</v>
      </c>
      <c r="B14">
        <v>25.2</v>
      </c>
      <c r="C14">
        <v>29.5</v>
      </c>
    </row>
    <row r="15" spans="1:3" x14ac:dyDescent="0.35">
      <c r="A15">
        <v>6.5</v>
      </c>
      <c r="B15">
        <v>25.2</v>
      </c>
      <c r="C15">
        <v>30.4</v>
      </c>
    </row>
    <row r="16" spans="1:3" x14ac:dyDescent="0.35">
      <c r="A16">
        <v>7</v>
      </c>
      <c r="B16">
        <v>25.1</v>
      </c>
      <c r="C16">
        <v>30.3</v>
      </c>
    </row>
    <row r="17" spans="1:3" x14ac:dyDescent="0.35">
      <c r="B17" t="s">
        <v>5</v>
      </c>
    </row>
    <row r="20" spans="1:3" x14ac:dyDescent="0.35">
      <c r="A20">
        <v>0</v>
      </c>
      <c r="B20">
        <v>-1.4</v>
      </c>
      <c r="C20">
        <v>-1.2</v>
      </c>
    </row>
    <row r="21" spans="1:3" x14ac:dyDescent="0.35">
      <c r="A21">
        <v>0.5</v>
      </c>
      <c r="B21">
        <v>-1.8</v>
      </c>
      <c r="C21">
        <v>-1.6</v>
      </c>
    </row>
    <row r="22" spans="1:3" x14ac:dyDescent="0.35">
      <c r="A22">
        <v>1</v>
      </c>
      <c r="B22">
        <v>-2.2999999999999998</v>
      </c>
      <c r="C22">
        <v>-2.1</v>
      </c>
    </row>
    <row r="23" spans="1:3" x14ac:dyDescent="0.35">
      <c r="A23">
        <v>1.5</v>
      </c>
      <c r="B23">
        <v>-3.1</v>
      </c>
      <c r="C23">
        <v>-2.8</v>
      </c>
    </row>
    <row r="24" spans="1:3" x14ac:dyDescent="0.35">
      <c r="A24">
        <v>2</v>
      </c>
      <c r="B24">
        <v>-3.9</v>
      </c>
      <c r="C24">
        <v>-3.8</v>
      </c>
    </row>
    <row r="25" spans="1:3" x14ac:dyDescent="0.35">
      <c r="A25">
        <v>2.5</v>
      </c>
      <c r="B25">
        <v>-3.9</v>
      </c>
      <c r="C25">
        <v>-4.7</v>
      </c>
    </row>
    <row r="26" spans="1:3" x14ac:dyDescent="0.35">
      <c r="A26">
        <v>3</v>
      </c>
      <c r="B26">
        <v>-3.9</v>
      </c>
      <c r="C26">
        <v>-5.3</v>
      </c>
    </row>
    <row r="27" spans="1:3" x14ac:dyDescent="0.35">
      <c r="A27">
        <v>3.5</v>
      </c>
      <c r="C27">
        <v>-5.3</v>
      </c>
    </row>
    <row r="28" spans="1:3" x14ac:dyDescent="0.35">
      <c r="A28">
        <v>4</v>
      </c>
      <c r="C28">
        <v>-5.2</v>
      </c>
    </row>
    <row r="29" spans="1:3" x14ac:dyDescent="0.35">
      <c r="B29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0DB3-8AC8-483D-AD7B-0BA0888D331F}">
  <dimension ref="A1:E32"/>
  <sheetViews>
    <sheetView zoomScale="43" workbookViewId="0">
      <selection activeCell="AN36" sqref="AN36"/>
    </sheetView>
  </sheetViews>
  <sheetFormatPr defaultRowHeight="14.5" x14ac:dyDescent="0.35"/>
  <cols>
    <col min="1" max="1" width="9.36328125" bestFit="1" customWidth="1"/>
    <col min="2" max="2" width="57.453125" bestFit="1" customWidth="1"/>
    <col min="3" max="3" width="11.36328125" bestFit="1" customWidth="1"/>
    <col min="4" max="4" width="52.6328125" bestFit="1" customWidth="1"/>
    <col min="5" max="5" width="11.36328125" bestFit="1" customWidth="1"/>
    <col min="37" max="37" width="12.08984375" bestFit="1" customWidth="1"/>
    <col min="38" max="38" width="70.90625" bestFit="1" customWidth="1"/>
    <col min="39" max="39" width="35.08984375" bestFit="1" customWidth="1"/>
    <col min="40" max="40" width="32.6328125" customWidth="1"/>
    <col min="41" max="41" width="13.26953125" bestFit="1" customWidth="1"/>
    <col min="42" max="42" width="30.54296875" bestFit="1" customWidth="1"/>
    <col min="43" max="43" width="17.453125" bestFit="1" customWidth="1"/>
    <col min="44" max="44" width="48" bestFit="1" customWidth="1"/>
    <col min="45" max="45" width="28.54296875" bestFit="1" customWidth="1"/>
    <col min="46" max="46" width="17.453125" bestFit="1" customWidth="1"/>
    <col min="47" max="47" width="13.26953125" bestFit="1" customWidth="1"/>
    <col min="48" max="48" width="30.54296875" bestFit="1" customWidth="1"/>
    <col min="49" max="49" width="17.453125" bestFit="1" customWidth="1"/>
  </cols>
  <sheetData>
    <row r="1" spans="1:5" x14ac:dyDescent="0.35">
      <c r="A1" t="s">
        <v>0</v>
      </c>
      <c r="B1" t="s">
        <v>4</v>
      </c>
      <c r="C1" t="s">
        <v>9</v>
      </c>
      <c r="D1" t="s">
        <v>12</v>
      </c>
      <c r="E1" t="s">
        <v>9</v>
      </c>
    </row>
    <row r="2" spans="1:5" x14ac:dyDescent="0.35">
      <c r="A2">
        <v>0</v>
      </c>
      <c r="B2">
        <v>1.9</v>
      </c>
      <c r="C2">
        <v>4.2</v>
      </c>
      <c r="D2">
        <v>5.3</v>
      </c>
      <c r="E2">
        <v>5.5</v>
      </c>
    </row>
    <row r="3" spans="1:5" x14ac:dyDescent="0.35">
      <c r="A3">
        <v>0.5</v>
      </c>
      <c r="B3">
        <v>5.9</v>
      </c>
      <c r="C3">
        <v>6.6</v>
      </c>
      <c r="D3">
        <v>7.8</v>
      </c>
      <c r="E3">
        <v>8.1</v>
      </c>
    </row>
    <row r="4" spans="1:5" x14ac:dyDescent="0.35">
      <c r="A4">
        <v>1</v>
      </c>
      <c r="B4">
        <v>8.9</v>
      </c>
      <c r="C4">
        <v>9.3000000000000007</v>
      </c>
      <c r="D4">
        <v>11.4</v>
      </c>
      <c r="E4">
        <v>11.5</v>
      </c>
    </row>
    <row r="5" spans="1:5" x14ac:dyDescent="0.35">
      <c r="A5">
        <v>1.5</v>
      </c>
      <c r="B5">
        <v>12</v>
      </c>
      <c r="C5">
        <v>13.3</v>
      </c>
      <c r="D5">
        <v>16.2</v>
      </c>
      <c r="E5">
        <v>16.7</v>
      </c>
    </row>
    <row r="6" spans="1:5" x14ac:dyDescent="0.35">
      <c r="A6">
        <v>2</v>
      </c>
      <c r="B6">
        <v>17.100000000000001</v>
      </c>
      <c r="C6">
        <v>18.3</v>
      </c>
      <c r="D6">
        <v>22.7</v>
      </c>
      <c r="E6">
        <v>23.3</v>
      </c>
    </row>
    <row r="7" spans="1:5" x14ac:dyDescent="0.35">
      <c r="A7">
        <v>2.5</v>
      </c>
      <c r="B7">
        <v>22.6</v>
      </c>
      <c r="C7">
        <v>24.2</v>
      </c>
      <c r="D7">
        <v>29.9</v>
      </c>
      <c r="E7">
        <v>30.1</v>
      </c>
    </row>
    <row r="8" spans="1:5" x14ac:dyDescent="0.35">
      <c r="A8">
        <v>3</v>
      </c>
      <c r="B8">
        <v>25.5</v>
      </c>
      <c r="C8">
        <v>28.5</v>
      </c>
      <c r="D8">
        <v>34.299999999999997</v>
      </c>
      <c r="E8">
        <v>34.6</v>
      </c>
    </row>
    <row r="9" spans="1:5" x14ac:dyDescent="0.35">
      <c r="A9">
        <v>3.5</v>
      </c>
      <c r="B9">
        <v>28.8</v>
      </c>
      <c r="C9">
        <v>31.5</v>
      </c>
      <c r="D9">
        <v>37.700000000000003</v>
      </c>
      <c r="E9">
        <v>39.299999999999997</v>
      </c>
    </row>
    <row r="10" spans="1:5" x14ac:dyDescent="0.35">
      <c r="A10">
        <v>4</v>
      </c>
      <c r="B10">
        <v>31.8</v>
      </c>
      <c r="C10">
        <v>34.799999999999997</v>
      </c>
      <c r="D10">
        <v>41.5</v>
      </c>
      <c r="E10">
        <v>42.5</v>
      </c>
    </row>
    <row r="11" spans="1:5" x14ac:dyDescent="0.35">
      <c r="A11">
        <v>4.5</v>
      </c>
      <c r="B11">
        <v>34.4</v>
      </c>
      <c r="C11">
        <v>37.9</v>
      </c>
      <c r="D11">
        <v>45.3</v>
      </c>
      <c r="E11">
        <v>46.8</v>
      </c>
    </row>
    <row r="12" spans="1:5" x14ac:dyDescent="0.35">
      <c r="A12">
        <v>5</v>
      </c>
      <c r="B12">
        <v>38.200000000000003</v>
      </c>
      <c r="C12">
        <v>41.4</v>
      </c>
      <c r="D12">
        <v>49.7</v>
      </c>
      <c r="E12">
        <v>51.4</v>
      </c>
    </row>
    <row r="13" spans="1:5" x14ac:dyDescent="0.35">
      <c r="A13">
        <v>5.5</v>
      </c>
      <c r="B13">
        <v>39.700000000000003</v>
      </c>
      <c r="C13">
        <v>44.8</v>
      </c>
      <c r="D13">
        <v>53.5</v>
      </c>
      <c r="E13">
        <v>53.8</v>
      </c>
    </row>
    <row r="14" spans="1:5" x14ac:dyDescent="0.35">
      <c r="A14">
        <v>6</v>
      </c>
      <c r="B14">
        <v>39.9</v>
      </c>
      <c r="C14">
        <v>45.1</v>
      </c>
      <c r="D14">
        <v>53.5</v>
      </c>
      <c r="E14">
        <v>54.7</v>
      </c>
    </row>
    <row r="15" spans="1:5" x14ac:dyDescent="0.35">
      <c r="A15">
        <v>6.5</v>
      </c>
      <c r="B15">
        <v>39.6</v>
      </c>
      <c r="C15">
        <v>44.7</v>
      </c>
      <c r="D15">
        <v>53.3</v>
      </c>
      <c r="E15">
        <v>54.1</v>
      </c>
    </row>
    <row r="16" spans="1:5" x14ac:dyDescent="0.35">
      <c r="A16">
        <v>7</v>
      </c>
      <c r="B16">
        <v>39.4</v>
      </c>
      <c r="C16">
        <v>44.3</v>
      </c>
      <c r="D16">
        <v>52.9</v>
      </c>
      <c r="E16">
        <v>53.7</v>
      </c>
    </row>
    <row r="17" spans="1:5" x14ac:dyDescent="0.35">
      <c r="B17" t="s">
        <v>7</v>
      </c>
    </row>
    <row r="20" spans="1:5" x14ac:dyDescent="0.35">
      <c r="A20">
        <v>0</v>
      </c>
      <c r="B20">
        <v>-3.1</v>
      </c>
      <c r="C20">
        <v>-2.8</v>
      </c>
      <c r="D20">
        <v>-4.7</v>
      </c>
      <c r="E20">
        <v>-3.6</v>
      </c>
    </row>
    <row r="21" spans="1:5" x14ac:dyDescent="0.35">
      <c r="A21">
        <v>0.5</v>
      </c>
      <c r="B21">
        <v>-4.2</v>
      </c>
      <c r="C21">
        <v>-3.7</v>
      </c>
      <c r="D21">
        <v>-6.3</v>
      </c>
      <c r="E21">
        <v>-5</v>
      </c>
    </row>
    <row r="22" spans="1:5" x14ac:dyDescent="0.35">
      <c r="A22">
        <v>1</v>
      </c>
      <c r="B22">
        <v>-5.6</v>
      </c>
      <c r="C22">
        <v>-4.8</v>
      </c>
      <c r="D22">
        <v>-8.5</v>
      </c>
      <c r="E22">
        <v>-6.9</v>
      </c>
    </row>
    <row r="23" spans="1:5" x14ac:dyDescent="0.35">
      <c r="A23">
        <v>1.5</v>
      </c>
      <c r="B23">
        <v>-7.4</v>
      </c>
      <c r="C23">
        <v>-6.2</v>
      </c>
      <c r="D23">
        <v>-11.7</v>
      </c>
      <c r="E23">
        <v>-9.6999999999999993</v>
      </c>
    </row>
    <row r="24" spans="1:5" x14ac:dyDescent="0.35">
      <c r="A24">
        <v>2</v>
      </c>
      <c r="B24">
        <v>-10.3</v>
      </c>
      <c r="C24">
        <v>-7.9</v>
      </c>
      <c r="D24">
        <v>-15.8</v>
      </c>
      <c r="E24">
        <v>-14.2</v>
      </c>
    </row>
    <row r="25" spans="1:5" x14ac:dyDescent="0.35">
      <c r="A25">
        <v>2.5</v>
      </c>
      <c r="B25">
        <v>-10.6</v>
      </c>
      <c r="C25">
        <v>-9.1999999999999993</v>
      </c>
      <c r="D25">
        <v>-16.600000000000001</v>
      </c>
      <c r="E25">
        <v>-17.8</v>
      </c>
    </row>
    <row r="26" spans="1:5" x14ac:dyDescent="0.35">
      <c r="A26">
        <v>3</v>
      </c>
      <c r="B26">
        <v>-10.5</v>
      </c>
      <c r="C26">
        <v>-10.8</v>
      </c>
      <c r="D26">
        <v>-16.600000000000001</v>
      </c>
      <c r="E26">
        <v>-20.5</v>
      </c>
    </row>
    <row r="27" spans="1:5" x14ac:dyDescent="0.35">
      <c r="A27">
        <v>3.5</v>
      </c>
      <c r="B27">
        <v>-10.5</v>
      </c>
      <c r="C27">
        <v>-12.4</v>
      </c>
      <c r="D27">
        <v>-16.600000000000001</v>
      </c>
      <c r="E27">
        <v>-20.8</v>
      </c>
    </row>
    <row r="28" spans="1:5" x14ac:dyDescent="0.35">
      <c r="A28">
        <v>4</v>
      </c>
      <c r="B28">
        <v>-10.5</v>
      </c>
      <c r="C28">
        <v>-12.9</v>
      </c>
      <c r="E28">
        <v>-20.9</v>
      </c>
    </row>
    <row r="29" spans="1:5" x14ac:dyDescent="0.35">
      <c r="A29">
        <v>4.5</v>
      </c>
      <c r="C29">
        <v>-13</v>
      </c>
      <c r="E29">
        <v>-21.2</v>
      </c>
    </row>
    <row r="30" spans="1:5" x14ac:dyDescent="0.35">
      <c r="A30">
        <v>5</v>
      </c>
      <c r="C30">
        <v>-13.2</v>
      </c>
      <c r="E30">
        <v>-21.3</v>
      </c>
    </row>
    <row r="31" spans="1:5" x14ac:dyDescent="0.35">
      <c r="A31">
        <v>5.5</v>
      </c>
      <c r="C31">
        <v>-13.2</v>
      </c>
      <c r="E31">
        <v>-21.3</v>
      </c>
    </row>
    <row r="32" spans="1:5" x14ac:dyDescent="0.35">
      <c r="B32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354C-A126-49A8-809F-A7341C9078F5}">
  <dimension ref="A1:C28"/>
  <sheetViews>
    <sheetView workbookViewId="0">
      <selection activeCell="A2" sqref="A2:C30"/>
    </sheetView>
  </sheetViews>
  <sheetFormatPr defaultRowHeight="14.5" x14ac:dyDescent="0.35"/>
  <sheetData>
    <row r="1" spans="1:3" x14ac:dyDescent="0.35">
      <c r="A1" t="s">
        <v>15</v>
      </c>
    </row>
    <row r="2" spans="1:3" x14ac:dyDescent="0.35">
      <c r="A2" t="s">
        <v>0</v>
      </c>
      <c r="B2" t="s">
        <v>11</v>
      </c>
      <c r="C2" t="s">
        <v>3</v>
      </c>
    </row>
    <row r="3" spans="1:3" x14ac:dyDescent="0.35">
      <c r="A3">
        <v>0</v>
      </c>
      <c r="B3">
        <v>2.2999999999999998</v>
      </c>
      <c r="C3">
        <v>1.8</v>
      </c>
    </row>
    <row r="4" spans="1:3" x14ac:dyDescent="0.35">
      <c r="A4">
        <v>0.5</v>
      </c>
      <c r="B4">
        <v>3.6</v>
      </c>
      <c r="C4">
        <v>4</v>
      </c>
    </row>
    <row r="5" spans="1:3" x14ac:dyDescent="0.35">
      <c r="A5">
        <v>1</v>
      </c>
      <c r="B5">
        <v>5.5</v>
      </c>
      <c r="C5">
        <v>6.1</v>
      </c>
    </row>
    <row r="6" spans="1:3" x14ac:dyDescent="0.35">
      <c r="A6">
        <v>1.5</v>
      </c>
      <c r="B6">
        <v>7.8</v>
      </c>
      <c r="C6">
        <v>8.1999999999999993</v>
      </c>
    </row>
    <row r="7" spans="1:3" x14ac:dyDescent="0.35">
      <c r="A7">
        <v>2</v>
      </c>
      <c r="B7">
        <v>11</v>
      </c>
      <c r="C7">
        <v>11.7</v>
      </c>
    </row>
    <row r="8" spans="1:3" x14ac:dyDescent="0.35">
      <c r="A8">
        <v>2.5</v>
      </c>
      <c r="B8">
        <v>14.4</v>
      </c>
      <c r="C8">
        <v>15.3</v>
      </c>
    </row>
    <row r="9" spans="1:3" x14ac:dyDescent="0.35">
      <c r="A9">
        <v>3</v>
      </c>
      <c r="B9">
        <v>16.899999999999999</v>
      </c>
      <c r="C9">
        <v>17.5</v>
      </c>
    </row>
    <row r="10" spans="1:3" x14ac:dyDescent="0.35">
      <c r="A10">
        <v>3.5</v>
      </c>
      <c r="B10">
        <v>18.600000000000001</v>
      </c>
      <c r="C10">
        <v>19.8</v>
      </c>
    </row>
    <row r="11" spans="1:3" x14ac:dyDescent="0.35">
      <c r="A11">
        <v>4</v>
      </c>
      <c r="B11">
        <v>20.7</v>
      </c>
      <c r="C11">
        <v>21.7</v>
      </c>
    </row>
    <row r="12" spans="1:3" x14ac:dyDescent="0.35">
      <c r="A12">
        <v>4.5</v>
      </c>
      <c r="B12">
        <v>22.5</v>
      </c>
      <c r="C12">
        <v>23.6</v>
      </c>
    </row>
    <row r="13" spans="1:3" x14ac:dyDescent="0.35">
      <c r="A13">
        <v>5</v>
      </c>
      <c r="B13">
        <v>24.7</v>
      </c>
      <c r="C13">
        <v>26.2</v>
      </c>
    </row>
    <row r="14" spans="1:3" x14ac:dyDescent="0.35">
      <c r="A14">
        <v>5.5</v>
      </c>
      <c r="B14">
        <v>25.3</v>
      </c>
      <c r="C14">
        <v>29.4</v>
      </c>
    </row>
    <row r="15" spans="1:3" x14ac:dyDescent="0.35">
      <c r="A15">
        <v>6</v>
      </c>
      <c r="B15">
        <v>25.2</v>
      </c>
      <c r="C15">
        <v>29.5</v>
      </c>
    </row>
    <row r="16" spans="1:3" x14ac:dyDescent="0.35">
      <c r="A16">
        <v>6.5</v>
      </c>
      <c r="C16">
        <v>30.4</v>
      </c>
    </row>
    <row r="17" spans="1:3" x14ac:dyDescent="0.35">
      <c r="A17">
        <v>7</v>
      </c>
      <c r="C17">
        <v>30.3</v>
      </c>
    </row>
    <row r="18" spans="1:3" x14ac:dyDescent="0.35">
      <c r="B18" t="s">
        <v>5</v>
      </c>
    </row>
    <row r="21" spans="1:3" x14ac:dyDescent="0.35">
      <c r="A21">
        <v>0</v>
      </c>
      <c r="B21">
        <v>-1.4</v>
      </c>
      <c r="C21">
        <v>-1.2</v>
      </c>
    </row>
    <row r="22" spans="1:3" x14ac:dyDescent="0.35">
      <c r="A22">
        <v>0.5</v>
      </c>
      <c r="B22">
        <v>-1.8</v>
      </c>
      <c r="C22">
        <v>-1.6</v>
      </c>
    </row>
    <row r="23" spans="1:3" x14ac:dyDescent="0.35">
      <c r="A23">
        <v>1</v>
      </c>
      <c r="B23">
        <v>-2.2999999999999998</v>
      </c>
      <c r="C23">
        <v>-2.1</v>
      </c>
    </row>
    <row r="24" spans="1:3" x14ac:dyDescent="0.35">
      <c r="A24">
        <v>1.5</v>
      </c>
      <c r="B24">
        <v>-3.1</v>
      </c>
      <c r="C24">
        <v>-2.8</v>
      </c>
    </row>
    <row r="25" spans="1:3" x14ac:dyDescent="0.35">
      <c r="A25">
        <v>2</v>
      </c>
      <c r="B25">
        <v>-3.9</v>
      </c>
      <c r="C25">
        <v>-3.8</v>
      </c>
    </row>
    <row r="26" spans="1:3" x14ac:dyDescent="0.35">
      <c r="A26">
        <v>2.5</v>
      </c>
      <c r="C26">
        <v>-4.7</v>
      </c>
    </row>
    <row r="27" spans="1:3" x14ac:dyDescent="0.35">
      <c r="A27">
        <v>3</v>
      </c>
      <c r="C27">
        <v>-5.3</v>
      </c>
    </row>
    <row r="28" spans="1:3" x14ac:dyDescent="0.35">
      <c r="B2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6CD3-BDAE-4F2A-9AD8-203434C7C8D9}">
  <dimension ref="A1:M29"/>
  <sheetViews>
    <sheetView workbookViewId="0">
      <selection activeCell="A2" sqref="A2:M29"/>
    </sheetView>
  </sheetViews>
  <sheetFormatPr defaultRowHeight="14.5" x14ac:dyDescent="0.35"/>
  <sheetData>
    <row r="1" spans="1:13" x14ac:dyDescent="0.35">
      <c r="A1" t="s">
        <v>16</v>
      </c>
    </row>
    <row r="2" spans="1:13" x14ac:dyDescent="0.35">
      <c r="A2" t="s">
        <v>0</v>
      </c>
      <c r="B2" t="s">
        <v>4</v>
      </c>
      <c r="C2" t="s">
        <v>11</v>
      </c>
      <c r="D2" t="s">
        <v>13</v>
      </c>
      <c r="E2" t="s">
        <v>9</v>
      </c>
      <c r="F2" t="s">
        <v>3</v>
      </c>
      <c r="G2" t="s">
        <v>14</v>
      </c>
      <c r="H2" t="s">
        <v>12</v>
      </c>
      <c r="I2" t="s">
        <v>11</v>
      </c>
      <c r="J2" t="s">
        <v>14</v>
      </c>
      <c r="K2" t="s">
        <v>9</v>
      </c>
      <c r="L2" t="s">
        <v>3</v>
      </c>
      <c r="M2" t="s">
        <v>14</v>
      </c>
    </row>
    <row r="3" spans="1:13" x14ac:dyDescent="0.35">
      <c r="A3">
        <v>0.5</v>
      </c>
      <c r="B3">
        <v>5.9</v>
      </c>
      <c r="C3">
        <v>3.6</v>
      </c>
      <c r="D3">
        <f>B3-C3</f>
        <v>2.3000000000000003</v>
      </c>
      <c r="E3">
        <v>6.6</v>
      </c>
      <c r="F3">
        <v>1.8</v>
      </c>
      <c r="G3">
        <f>E3-F3</f>
        <v>4.8</v>
      </c>
      <c r="H3">
        <v>7.8</v>
      </c>
      <c r="I3">
        <v>3.6</v>
      </c>
      <c r="J3">
        <f>H3-I3</f>
        <v>4.1999999999999993</v>
      </c>
      <c r="K3">
        <v>8.1</v>
      </c>
      <c r="L3">
        <v>1.8</v>
      </c>
      <c r="M3">
        <f>K3-L3</f>
        <v>6.3</v>
      </c>
    </row>
    <row r="4" spans="1:13" x14ac:dyDescent="0.35">
      <c r="A4">
        <v>1</v>
      </c>
      <c r="B4">
        <v>8.9</v>
      </c>
      <c r="C4">
        <v>5.5</v>
      </c>
      <c r="D4">
        <f>B4-C4</f>
        <v>3.4000000000000004</v>
      </c>
      <c r="E4">
        <v>9.3000000000000007</v>
      </c>
      <c r="F4">
        <v>4</v>
      </c>
      <c r="G4">
        <f>E4-F4</f>
        <v>5.3000000000000007</v>
      </c>
      <c r="H4">
        <v>11.4</v>
      </c>
      <c r="I4">
        <v>5.5</v>
      </c>
      <c r="J4">
        <f>H4-I4</f>
        <v>5.9</v>
      </c>
      <c r="K4">
        <v>11.5</v>
      </c>
      <c r="L4">
        <v>4</v>
      </c>
      <c r="M4">
        <f>K4-L4</f>
        <v>7.5</v>
      </c>
    </row>
    <row r="5" spans="1:13" x14ac:dyDescent="0.35">
      <c r="A5">
        <v>1.5</v>
      </c>
      <c r="B5">
        <v>12</v>
      </c>
      <c r="C5">
        <v>7.8</v>
      </c>
      <c r="D5">
        <f>B5-C5</f>
        <v>4.2</v>
      </c>
      <c r="E5">
        <v>13.3</v>
      </c>
      <c r="F5">
        <v>6.1</v>
      </c>
      <c r="G5">
        <f>E5-F5</f>
        <v>7.2000000000000011</v>
      </c>
      <c r="H5">
        <v>16.2</v>
      </c>
      <c r="I5">
        <v>7.8</v>
      </c>
      <c r="J5">
        <f>H5-I5</f>
        <v>8.3999999999999986</v>
      </c>
      <c r="K5">
        <v>16.7</v>
      </c>
      <c r="L5">
        <v>6.1</v>
      </c>
      <c r="M5">
        <f>K5-L5</f>
        <v>10.6</v>
      </c>
    </row>
    <row r="6" spans="1:13" x14ac:dyDescent="0.35">
      <c r="A6">
        <v>2</v>
      </c>
      <c r="B6">
        <v>17.100000000000001</v>
      </c>
      <c r="C6">
        <v>11</v>
      </c>
      <c r="D6">
        <f>B6-C6</f>
        <v>6.1000000000000014</v>
      </c>
      <c r="E6">
        <v>18.3</v>
      </c>
      <c r="F6">
        <v>8.1999999999999993</v>
      </c>
      <c r="G6">
        <f>E6-F6</f>
        <v>10.100000000000001</v>
      </c>
      <c r="H6">
        <v>22.7</v>
      </c>
      <c r="I6">
        <v>11</v>
      </c>
      <c r="J6">
        <f>H6-I6</f>
        <v>11.7</v>
      </c>
      <c r="K6">
        <v>23.3</v>
      </c>
      <c r="L6">
        <v>8.1999999999999993</v>
      </c>
      <c r="M6">
        <f>K6-L6</f>
        <v>15.100000000000001</v>
      </c>
    </row>
    <row r="7" spans="1:13" x14ac:dyDescent="0.35">
      <c r="A7">
        <v>2.5</v>
      </c>
      <c r="B7">
        <v>22.6</v>
      </c>
      <c r="C7">
        <v>14.4</v>
      </c>
      <c r="D7">
        <f>B7-C7</f>
        <v>8.2000000000000011</v>
      </c>
      <c r="E7">
        <v>24.2</v>
      </c>
      <c r="F7">
        <v>11.7</v>
      </c>
      <c r="G7">
        <f>E7-F7</f>
        <v>12.5</v>
      </c>
      <c r="H7">
        <v>29.9</v>
      </c>
      <c r="I7">
        <v>14.4</v>
      </c>
      <c r="J7">
        <f>H7-I7</f>
        <v>15.499999999999998</v>
      </c>
      <c r="K7">
        <v>30.1</v>
      </c>
      <c r="L7">
        <v>11.7</v>
      </c>
      <c r="M7">
        <f>K7-L7</f>
        <v>18.400000000000002</v>
      </c>
    </row>
    <row r="8" spans="1:13" x14ac:dyDescent="0.35">
      <c r="A8">
        <v>3</v>
      </c>
      <c r="B8">
        <v>25.5</v>
      </c>
      <c r="C8">
        <v>16.899999999999999</v>
      </c>
      <c r="D8">
        <f>B8-C8</f>
        <v>8.6000000000000014</v>
      </c>
      <c r="E8">
        <v>28.5</v>
      </c>
      <c r="F8">
        <v>15.3</v>
      </c>
      <c r="G8">
        <f>E8-F8</f>
        <v>13.2</v>
      </c>
      <c r="H8">
        <v>34.299999999999997</v>
      </c>
      <c r="I8">
        <v>16.899999999999999</v>
      </c>
      <c r="J8">
        <f>H8-I8</f>
        <v>17.399999999999999</v>
      </c>
      <c r="K8">
        <v>34.6</v>
      </c>
      <c r="L8">
        <v>15.3</v>
      </c>
      <c r="M8">
        <f>K8-L8</f>
        <v>19.3</v>
      </c>
    </row>
    <row r="9" spans="1:13" x14ac:dyDescent="0.35">
      <c r="A9">
        <v>3.5</v>
      </c>
      <c r="B9">
        <v>28.8</v>
      </c>
      <c r="C9">
        <v>18.600000000000001</v>
      </c>
      <c r="D9">
        <f>B9-C9</f>
        <v>10.199999999999999</v>
      </c>
      <c r="E9">
        <v>31.5</v>
      </c>
      <c r="F9">
        <v>17.5</v>
      </c>
      <c r="G9">
        <f>E9-F9</f>
        <v>14</v>
      </c>
      <c r="H9">
        <v>37.700000000000003</v>
      </c>
      <c r="I9">
        <v>18.600000000000001</v>
      </c>
      <c r="J9">
        <f>H9-I9</f>
        <v>19.100000000000001</v>
      </c>
      <c r="K9">
        <v>39.299999999999997</v>
      </c>
      <c r="L9">
        <v>17.5</v>
      </c>
      <c r="M9">
        <f>K9-L9</f>
        <v>21.799999999999997</v>
      </c>
    </row>
    <row r="10" spans="1:13" x14ac:dyDescent="0.35">
      <c r="A10">
        <v>4</v>
      </c>
      <c r="B10">
        <v>31.8</v>
      </c>
      <c r="C10">
        <v>20.7</v>
      </c>
      <c r="D10">
        <f>B10-C10</f>
        <v>11.100000000000001</v>
      </c>
      <c r="E10">
        <v>34.799999999999997</v>
      </c>
      <c r="F10">
        <v>19.8</v>
      </c>
      <c r="G10">
        <f>E10-F10</f>
        <v>14.999999999999996</v>
      </c>
      <c r="H10">
        <v>41.5</v>
      </c>
      <c r="I10">
        <v>20.7</v>
      </c>
      <c r="J10">
        <f>H10-I10</f>
        <v>20.8</v>
      </c>
      <c r="K10">
        <v>42.5</v>
      </c>
      <c r="L10">
        <v>19.8</v>
      </c>
      <c r="M10">
        <f>K10-L10</f>
        <v>22.7</v>
      </c>
    </row>
    <row r="11" spans="1:13" x14ac:dyDescent="0.35">
      <c r="A11">
        <v>4.5</v>
      </c>
      <c r="B11">
        <v>34.4</v>
      </c>
      <c r="C11">
        <v>22.5</v>
      </c>
      <c r="D11">
        <f>B11-C11</f>
        <v>11.899999999999999</v>
      </c>
      <c r="E11">
        <v>37.9</v>
      </c>
      <c r="F11">
        <v>21.7</v>
      </c>
      <c r="G11">
        <f>E11-F11</f>
        <v>16.2</v>
      </c>
      <c r="H11">
        <v>45.3</v>
      </c>
      <c r="I11">
        <v>22.5</v>
      </c>
      <c r="J11">
        <f>H11-I11</f>
        <v>22.799999999999997</v>
      </c>
      <c r="K11">
        <v>46.8</v>
      </c>
      <c r="L11">
        <v>21.7</v>
      </c>
      <c r="M11">
        <f>K11-L11</f>
        <v>25.099999999999998</v>
      </c>
    </row>
    <row r="12" spans="1:13" x14ac:dyDescent="0.35">
      <c r="A12">
        <v>5</v>
      </c>
      <c r="B12">
        <v>38.200000000000003</v>
      </c>
      <c r="C12">
        <v>24.7</v>
      </c>
      <c r="D12">
        <f>B12-C12</f>
        <v>13.500000000000004</v>
      </c>
      <c r="E12">
        <v>41.4</v>
      </c>
      <c r="F12">
        <v>23.6</v>
      </c>
      <c r="G12">
        <f>E12-F12</f>
        <v>17.799999999999997</v>
      </c>
      <c r="H12">
        <v>49.7</v>
      </c>
      <c r="I12">
        <v>24.7</v>
      </c>
      <c r="J12">
        <f>H12-I12</f>
        <v>25.000000000000004</v>
      </c>
      <c r="K12">
        <v>51.4</v>
      </c>
      <c r="L12">
        <v>23.6</v>
      </c>
      <c r="M12">
        <f>K12-L12</f>
        <v>27.799999999999997</v>
      </c>
    </row>
    <row r="13" spans="1:13" x14ac:dyDescent="0.35">
      <c r="A13">
        <v>5.5</v>
      </c>
      <c r="B13">
        <v>39.700000000000003</v>
      </c>
      <c r="C13">
        <v>25.3</v>
      </c>
      <c r="D13">
        <f>B13-C13</f>
        <v>14.400000000000002</v>
      </c>
      <c r="E13">
        <v>44.8</v>
      </c>
      <c r="F13">
        <v>26.2</v>
      </c>
      <c r="G13">
        <f>E13-F13</f>
        <v>18.599999999999998</v>
      </c>
      <c r="H13">
        <v>53.5</v>
      </c>
      <c r="I13">
        <v>25.3</v>
      </c>
      <c r="J13">
        <f>H13-I13</f>
        <v>28.2</v>
      </c>
      <c r="K13">
        <v>53.8</v>
      </c>
      <c r="L13">
        <v>26.2</v>
      </c>
      <c r="M13">
        <f>K13-L13</f>
        <v>27.599999999999998</v>
      </c>
    </row>
    <row r="14" spans="1:13" x14ac:dyDescent="0.35">
      <c r="A14">
        <v>6</v>
      </c>
      <c r="B14">
        <v>39.9</v>
      </c>
      <c r="C14">
        <v>25.2</v>
      </c>
      <c r="D14">
        <f>B14-C14</f>
        <v>14.7</v>
      </c>
      <c r="E14">
        <v>45.1</v>
      </c>
      <c r="F14">
        <v>29.4</v>
      </c>
      <c r="G14">
        <f>E14-F14</f>
        <v>15.700000000000003</v>
      </c>
      <c r="H14">
        <v>53.5</v>
      </c>
      <c r="I14">
        <v>25.2</v>
      </c>
      <c r="J14">
        <f>H14-I14</f>
        <v>28.3</v>
      </c>
      <c r="K14">
        <v>54.7</v>
      </c>
      <c r="L14">
        <v>29.4</v>
      </c>
      <c r="M14">
        <f>K14-L14</f>
        <v>25.300000000000004</v>
      </c>
    </row>
    <row r="15" spans="1:13" x14ac:dyDescent="0.35">
      <c r="A15">
        <v>6.5</v>
      </c>
      <c r="E15">
        <v>44.7</v>
      </c>
      <c r="F15">
        <v>29.5</v>
      </c>
      <c r="G15">
        <f>E15-F15</f>
        <v>15.200000000000003</v>
      </c>
    </row>
    <row r="16" spans="1:13" x14ac:dyDescent="0.35">
      <c r="B16" t="s">
        <v>7</v>
      </c>
    </row>
    <row r="18" spans="1:13" x14ac:dyDescent="0.35">
      <c r="A18">
        <v>0</v>
      </c>
      <c r="B18">
        <v>-3.1</v>
      </c>
      <c r="C18">
        <v>-1.4</v>
      </c>
      <c r="D18">
        <f>B18-C18</f>
        <v>-1.7000000000000002</v>
      </c>
      <c r="E18">
        <v>-2.8</v>
      </c>
      <c r="F18">
        <v>-1.2</v>
      </c>
      <c r="G18">
        <f>E18-F18</f>
        <v>-1.5999999999999999</v>
      </c>
      <c r="H18">
        <v>-4.7</v>
      </c>
      <c r="I18">
        <v>-1.4</v>
      </c>
      <c r="J18">
        <f>H18-I18</f>
        <v>-3.3000000000000003</v>
      </c>
      <c r="K18">
        <v>-3.6</v>
      </c>
      <c r="L18">
        <v>-1.2</v>
      </c>
      <c r="M18">
        <f>K18-L18</f>
        <v>-2.4000000000000004</v>
      </c>
    </row>
    <row r="19" spans="1:13" x14ac:dyDescent="0.35">
      <c r="A19">
        <v>0.5</v>
      </c>
      <c r="B19">
        <v>-4.2</v>
      </c>
      <c r="C19">
        <v>-1.8</v>
      </c>
      <c r="D19">
        <f>B19-C19</f>
        <v>-2.4000000000000004</v>
      </c>
      <c r="E19">
        <v>-3.7</v>
      </c>
      <c r="F19">
        <v>-1.6</v>
      </c>
      <c r="G19">
        <f>E19-F19</f>
        <v>-2.1</v>
      </c>
      <c r="H19">
        <v>-6.3</v>
      </c>
      <c r="I19">
        <v>-1.8</v>
      </c>
      <c r="J19">
        <f>H19-I19</f>
        <v>-4.5</v>
      </c>
      <c r="K19">
        <v>-5</v>
      </c>
      <c r="L19">
        <v>-1.6</v>
      </c>
      <c r="M19">
        <f>K19-L19</f>
        <v>-3.4</v>
      </c>
    </row>
    <row r="20" spans="1:13" x14ac:dyDescent="0.35">
      <c r="A20">
        <v>1</v>
      </c>
      <c r="B20">
        <v>-5.6</v>
      </c>
      <c r="C20">
        <v>-2.2999999999999998</v>
      </c>
      <c r="D20">
        <f>B20-C20</f>
        <v>-3.3</v>
      </c>
      <c r="E20">
        <v>-4.8</v>
      </c>
      <c r="F20">
        <v>-2.1</v>
      </c>
      <c r="G20">
        <f>E20-F20</f>
        <v>-2.6999999999999997</v>
      </c>
      <c r="H20">
        <v>-8.5</v>
      </c>
      <c r="I20">
        <v>-2.2999999999999998</v>
      </c>
      <c r="J20">
        <f>H20-I20</f>
        <v>-6.2</v>
      </c>
      <c r="K20">
        <v>-6.9</v>
      </c>
      <c r="L20">
        <v>-2.1</v>
      </c>
      <c r="M20">
        <f>K20-L20</f>
        <v>-4.8000000000000007</v>
      </c>
    </row>
    <row r="21" spans="1:13" x14ac:dyDescent="0.35">
      <c r="A21">
        <v>1.5</v>
      </c>
      <c r="B21">
        <v>-7.4</v>
      </c>
      <c r="C21">
        <v>-3.1</v>
      </c>
      <c r="D21">
        <f>B21-C21</f>
        <v>-4.3000000000000007</v>
      </c>
      <c r="E21">
        <v>-6.2</v>
      </c>
      <c r="F21">
        <v>-2.8</v>
      </c>
      <c r="G21">
        <f>E21-F21</f>
        <v>-3.4000000000000004</v>
      </c>
      <c r="H21">
        <v>-11.7</v>
      </c>
      <c r="I21">
        <v>-3.1</v>
      </c>
      <c r="J21">
        <f>H21-I21</f>
        <v>-8.6</v>
      </c>
      <c r="K21">
        <v>-9.6999999999999993</v>
      </c>
      <c r="L21">
        <v>-2.8</v>
      </c>
      <c r="M21">
        <f>K21-L21</f>
        <v>-6.8999999999999995</v>
      </c>
    </row>
    <row r="22" spans="1:13" x14ac:dyDescent="0.35">
      <c r="A22">
        <v>2</v>
      </c>
      <c r="B22">
        <v>-10.3</v>
      </c>
      <c r="C22">
        <v>-3.9</v>
      </c>
      <c r="D22">
        <f>B22-C22</f>
        <v>-6.4</v>
      </c>
      <c r="E22">
        <v>-7.9</v>
      </c>
      <c r="F22">
        <v>-3.8</v>
      </c>
      <c r="G22">
        <f>E22-F22</f>
        <v>-4.1000000000000005</v>
      </c>
      <c r="H22">
        <v>-15.8</v>
      </c>
      <c r="I22">
        <v>-3.9</v>
      </c>
      <c r="J22">
        <f>H22-I22</f>
        <v>-11.9</v>
      </c>
      <c r="K22">
        <v>-14.2</v>
      </c>
      <c r="L22">
        <v>-3.8</v>
      </c>
      <c r="M22">
        <f>K22-L22</f>
        <v>-10.399999999999999</v>
      </c>
    </row>
    <row r="23" spans="1:13" x14ac:dyDescent="0.35">
      <c r="A23">
        <v>2.5</v>
      </c>
      <c r="B23">
        <v>-10.6</v>
      </c>
      <c r="E23">
        <v>-9.1999999999999993</v>
      </c>
      <c r="F23">
        <v>-4.7</v>
      </c>
      <c r="G23">
        <f>E23-F23</f>
        <v>-4.4999999999999991</v>
      </c>
      <c r="H23">
        <v>-16.600000000000001</v>
      </c>
      <c r="K23">
        <v>-17.8</v>
      </c>
      <c r="L23">
        <v>-4.7</v>
      </c>
      <c r="M23">
        <f>K23-L23</f>
        <v>-13.100000000000001</v>
      </c>
    </row>
    <row r="24" spans="1:13" x14ac:dyDescent="0.35">
      <c r="A24">
        <v>3</v>
      </c>
      <c r="E24">
        <v>-10.8</v>
      </c>
      <c r="F24">
        <v>-5.3</v>
      </c>
      <c r="G24">
        <f>E24-F24</f>
        <v>-5.5000000000000009</v>
      </c>
      <c r="K24">
        <v>-20.5</v>
      </c>
      <c r="L24">
        <v>-5.3</v>
      </c>
      <c r="M24">
        <f>K24-L24</f>
        <v>-15.2</v>
      </c>
    </row>
    <row r="25" spans="1:13" x14ac:dyDescent="0.35">
      <c r="A25">
        <v>3.5</v>
      </c>
      <c r="E25">
        <v>-12.4</v>
      </c>
      <c r="K25">
        <v>-20.8</v>
      </c>
    </row>
    <row r="26" spans="1:13" x14ac:dyDescent="0.35">
      <c r="A26">
        <v>4</v>
      </c>
      <c r="E26">
        <v>-12.9</v>
      </c>
      <c r="K26">
        <v>-20.9</v>
      </c>
    </row>
    <row r="27" spans="1:13" x14ac:dyDescent="0.35">
      <c r="A27">
        <v>4.5</v>
      </c>
      <c r="E27">
        <v>-13</v>
      </c>
      <c r="K27">
        <v>-21.2</v>
      </c>
    </row>
    <row r="28" spans="1:13" x14ac:dyDescent="0.35">
      <c r="A28">
        <v>5</v>
      </c>
      <c r="E28">
        <v>-13.2</v>
      </c>
      <c r="K28">
        <v>-21.3</v>
      </c>
    </row>
    <row r="29" spans="1:13" x14ac:dyDescent="0.35">
      <c r="B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 babu Onteru</dc:creator>
  <cp:lastModifiedBy>Naini Diwan</cp:lastModifiedBy>
  <dcterms:created xsi:type="dcterms:W3CDTF">2026-08-25T05:02:49Z</dcterms:created>
  <dcterms:modified xsi:type="dcterms:W3CDTF">2026-09-08T06:13:06Z</dcterms:modified>
</cp:coreProperties>
</file>